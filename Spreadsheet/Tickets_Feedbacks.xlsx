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sha V\Downloads\"/>
    </mc:Choice>
  </mc:AlternateContent>
  <xr:revisionPtr revIDLastSave="0" documentId="13_ncr:1_{D2A3ED8E-E5CB-4716-A49B-C32C3ACE7E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s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<sst xmlns="http://schemas.openxmlformats.org/spreadsheetml/2006/main" count="59" uniqueCount="47">
  <si>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</si>
  <si>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</si>
  <si>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</si>
  <si>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</si>
  <si>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</si>
  <si>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</si>
  <si>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</si>
  <si>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</si>
  <si>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vew-iuvd-12</t>
  </si>
  <si>
    <t>wrqy-juv-978</t>
  </si>
  <si>
    <t>2021-08-20 10:12:56</t>
  </si>
  <si>
    <t>2021-08-20 16:10:22</t>
  </si>
  <si>
    <t>qer-fal-092</t>
  </si>
  <si>
    <t>2021-08-21 11:09:22</t>
  </si>
  <si>
    <t>2021-08-21 17:13:45</t>
  </si>
  <si>
    <t>8woh-k3u-23b</t>
  </si>
  <si>
    <t>abt-221-pla</t>
  </si>
  <si>
    <t>2021-08-21 09:15:10</t>
  </si>
  <si>
    <t>2021-08-21 09:45:55</t>
  </si>
  <si>
    <t>jsk-wel-090</t>
  </si>
  <si>
    <t>tyu-88s-ppl</t>
  </si>
  <si>
    <t>2021-08-22 08:20:18</t>
  </si>
  <si>
    <t>2021-08-22 08:50:00</t>
  </si>
  <si>
    <t>ksl-233-ff2</t>
  </si>
  <si>
    <t>2021-08-19 12:05:00</t>
  </si>
  <si>
    <t>2021-08-19 12:45:10</t>
  </si>
  <si>
    <t>vny-221-sd1</t>
  </si>
  <si>
    <t>2021-08-23 14:10:05</t>
  </si>
  <si>
    <t>2021-08-23 18:33:42</t>
  </si>
  <si>
    <t>pqw-112-asd</t>
  </si>
  <si>
    <t>2021-08-24 10:55:23</t>
  </si>
  <si>
    <t>2021-08-24 11:40:19</t>
  </si>
  <si>
    <t>feedback_at</t>
  </si>
  <si>
    <t>feedback_rating</t>
  </si>
  <si>
    <t>ticket_created_at</t>
  </si>
  <si>
    <t>2021-08-21 13:26:48</t>
  </si>
  <si>
    <t>2021-08-21 18:20:15</t>
  </si>
  <si>
    <t>2021-08-19 13:20:30</t>
  </si>
  <si>
    <t>2021-08-22 10:33:00</t>
  </si>
  <si>
    <t>2021-08-22 09:10:29</t>
  </si>
  <si>
    <t>2021-08-23 20:30:11</t>
  </si>
  <si>
    <t>created_date</t>
  </si>
  <si>
    <t>closed_date</t>
  </si>
  <si>
    <t>created_hour</t>
  </si>
  <si>
    <t>closed_hour</t>
  </si>
  <si>
    <t>same_day_flag</t>
  </si>
  <si>
    <t>same_hour_flag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</si>
</sst>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D23" sqref="D23"/>
    </sheetView>
  </sheetViews>
  <sheetFormatPr defaultRowHeight="14.4" x14ac:dyDescent="0.3"/>
  <cols>
    <col min="1" max="1" width="12.77734375" bestFit="1" customWidth="1"/>
    <col min="2" max="3" width="18.109375" bestFit="1" customWidth="1"/>
    <col min="4" max="4" width="8.33203125" bestFit="1" customWidth="1"/>
    <col min="5" max="5" width="12.77734375" bestFit="1" customWidth="1"/>
    <col min="6" max="6" width="11.88671875" bestFit="1" customWidth="1"/>
    <col min="7" max="7" width="10.88671875" bestFit="1" customWidth="1"/>
    <col min="8" max="8" width="12" bestFit="1" customWidth="1"/>
    <col min="9" max="9" width="11" bestFit="1" customWidth="1"/>
    <col min="10" max="10" width="13.33203125" bestFit="1" customWidth="1"/>
    <col min="11" max="11" width="14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3">
      <c r="A2" t="s">
        <v>5</v>
      </c>
      <c r="B2" t="s">
        <v>6</v>
      </c>
      <c r="C2" t="s">
        <v>7</v>
      </c>
      <c r="D2">
        <v>101</v>
      </c>
      <c r="E2" t="s">
        <v>8</v>
      </c>
      <c r="F2">
        <f>IF(B2="","",INT(B2))</f>
        <v>44427</v>
      </c>
      <c r="G2">
        <f>IF(C2="","",INT(C2))</f>
        <v>44430</v>
      </c>
      <c r="H2">
        <f>IF(B2="","",HOUR(B2))</f>
        <v>16</v>
      </c>
      <c r="I2">
        <f>IF(C2="","",HOUR(C2))</f>
        <v>12</v>
      </c>
      <c r="J2">
        <f>IF(AND(F2&lt;&gt;"", G2&lt;&gt;"", F2=G2), 1, 0)</f>
        <v>0</v>
      </c>
      <c r="K2">
        <f>IF(AND(F2&lt;&gt;"", G2&lt;&gt;"", F2=G2, H2=I2), 1, 0)</f>
        <v>0</v>
      </c>
    </row>
    <row r="3" spans="1:11" x14ac:dyDescent="0.3">
      <c r="A3" t="s">
        <v>9</v>
      </c>
      <c r="B3" t="s">
        <v>10</v>
      </c>
      <c r="C3" t="s">
        <v>11</v>
      </c>
      <c r="D3">
        <v>102</v>
      </c>
      <c r="E3" t="s">
        <v>12</v>
      </c>
      <c r="F3">
        <f t="shared" ref="F3:F9" si="0">IF(B3="","",INT(B3))</f>
        <v>44428</v>
      </c>
      <c r="G3">
        <f t="shared" ref="G3:G9" si="1">IF(C3="","",INT(C3))</f>
        <v>44428</v>
      </c>
      <c r="H3">
        <f t="shared" ref="H3:H9" si="2">IF(B3="","",HOUR(B3))</f>
        <v>10</v>
      </c>
      <c r="I3">
        <f t="shared" ref="I3:I9" si="3">IF(C3="","",HOUR(C3))</f>
        <v>16</v>
      </c>
      <c r="J3">
        <f t="shared" ref="J3:J9" si="4">IF(AND(F3&lt;&gt;"", G3&lt;&gt;"", F3=G3), 1, 0)</f>
        <v>1</v>
      </c>
      <c r="K3">
        <f t="shared" ref="K3:K9" si="5">IF(AND(F3&lt;&gt;"", G3&lt;&gt;"", F3=G3, H3=I3), 1, 0)</f>
        <v>0</v>
      </c>
    </row>
    <row r="4" spans="1:11" x14ac:dyDescent="0.3">
      <c r="A4" t="s">
        <v>12</v>
      </c>
      <c r="B4" t="s">
        <v>13</v>
      </c>
      <c r="C4" t="s">
        <v>14</v>
      </c>
      <c r="D4">
        <v>101</v>
      </c>
      <c r="E4" t="s">
        <v>15</v>
      </c>
      <c r="F4">
        <f t="shared" si="0"/>
        <v>44429</v>
      </c>
      <c r="G4">
        <f t="shared" si="1"/>
        <v>44429</v>
      </c>
      <c r="H4">
        <f t="shared" si="2"/>
        <v>11</v>
      </c>
      <c r="I4">
        <f t="shared" si="3"/>
        <v>17</v>
      </c>
      <c r="J4">
        <f t="shared" si="4"/>
        <v>1</v>
      </c>
      <c r="K4">
        <f t="shared" si="5"/>
        <v>0</v>
      </c>
    </row>
    <row r="5" spans="1:11" x14ac:dyDescent="0.3">
      <c r="A5" t="s">
        <v>16</v>
      </c>
      <c r="B5" t="s">
        <v>17</v>
      </c>
      <c r="C5" t="s">
        <v>18</v>
      </c>
      <c r="D5">
        <v>103</v>
      </c>
      <c r="E5" t="s">
        <v>19</v>
      </c>
      <c r="F5">
        <f t="shared" si="0"/>
        <v>44429</v>
      </c>
      <c r="G5">
        <f t="shared" si="1"/>
        <v>44429</v>
      </c>
      <c r="H5">
        <f t="shared" si="2"/>
        <v>9</v>
      </c>
      <c r="I5">
        <f t="shared" si="3"/>
        <v>9</v>
      </c>
      <c r="J5">
        <f t="shared" si="4"/>
        <v>1</v>
      </c>
      <c r="K5">
        <f t="shared" si="5"/>
        <v>1</v>
      </c>
    </row>
    <row r="6" spans="1:11" x14ac:dyDescent="0.3">
      <c r="A6" t="s">
        <v>20</v>
      </c>
      <c r="B6" t="s">
        <v>21</v>
      </c>
      <c r="C6" t="s">
        <v>22</v>
      </c>
      <c r="D6">
        <v>101</v>
      </c>
      <c r="E6" t="s">
        <v>23</v>
      </c>
      <c r="F6">
        <f t="shared" si="0"/>
        <v>44430</v>
      </c>
      <c r="G6">
        <f t="shared" si="1"/>
        <v>44430</v>
      </c>
      <c r="H6">
        <f t="shared" si="2"/>
        <v>8</v>
      </c>
      <c r="I6">
        <f t="shared" si="3"/>
        <v>8</v>
      </c>
      <c r="J6">
        <f t="shared" si="4"/>
        <v>1</v>
      </c>
      <c r="K6">
        <f t="shared" si="5"/>
        <v>1</v>
      </c>
    </row>
    <row r="7" spans="1:11" x14ac:dyDescent="0.3">
      <c r="A7" t="s">
        <v>15</v>
      </c>
      <c r="B7" t="s">
        <v>24</v>
      </c>
      <c r="C7" t="s">
        <v>25</v>
      </c>
      <c r="D7">
        <v>102</v>
      </c>
      <c r="E7" t="s">
        <v>5</v>
      </c>
      <c r="F7">
        <f t="shared" si="0"/>
        <v>44427</v>
      </c>
      <c r="G7">
        <f t="shared" si="1"/>
        <v>44427</v>
      </c>
      <c r="H7">
        <f t="shared" si="2"/>
        <v>12</v>
      </c>
      <c r="I7">
        <f t="shared" si="3"/>
        <v>12</v>
      </c>
      <c r="J7">
        <f t="shared" si="4"/>
        <v>1</v>
      </c>
      <c r="K7">
        <f t="shared" si="5"/>
        <v>1</v>
      </c>
    </row>
    <row r="8" spans="1:11" x14ac:dyDescent="0.3">
      <c r="A8" t="s">
        <v>26</v>
      </c>
      <c r="B8" t="s">
        <v>27</v>
      </c>
      <c r="C8" t="s">
        <v>28</v>
      </c>
      <c r="D8">
        <v>104</v>
      </c>
      <c r="E8" t="s">
        <v>29</v>
      </c>
      <c r="F8">
        <f t="shared" si="0"/>
        <v>44431</v>
      </c>
      <c r="G8">
        <f t="shared" si="1"/>
        <v>44431</v>
      </c>
      <c r="H8">
        <f t="shared" si="2"/>
        <v>14</v>
      </c>
      <c r="I8">
        <f t="shared" si="3"/>
        <v>18</v>
      </c>
      <c r="J8">
        <f t="shared" si="4"/>
        <v>1</v>
      </c>
      <c r="K8">
        <f t="shared" si="5"/>
        <v>0</v>
      </c>
    </row>
    <row r="9" spans="1:11" x14ac:dyDescent="0.3">
      <c r="A9" t="s">
        <v>29</v>
      </c>
      <c r="B9" t="s">
        <v>30</v>
      </c>
      <c r="C9" t="s">
        <v>31</v>
      </c>
      <c r="D9">
        <v>104</v>
      </c>
      <c r="E9" t="s">
        <v>5</v>
      </c>
      <c r="F9">
        <f t="shared" si="0"/>
        <v>44432</v>
      </c>
      <c r="G9">
        <f t="shared" si="1"/>
        <v>44432</v>
      </c>
      <c r="H9">
        <f t="shared" si="2"/>
        <v>10</v>
      </c>
      <c r="I9">
        <f t="shared" si="3"/>
        <v>11</v>
      </c>
      <c r="J9">
        <f t="shared" si="4"/>
        <v>1</v>
      </c>
      <c r="K9">
        <f t="shared" si="5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A5" sqref="A5"/>
    </sheetView>
  </sheetViews>
  <sheetFormatPr defaultRowHeight="14.4" x14ac:dyDescent="0.3"/>
  <cols>
    <col min="1" max="1" width="12.77734375" bestFit="1" customWidth="1"/>
    <col min="2" max="2" width="18.109375" bestFit="1" customWidth="1"/>
    <col min="3" max="3" width="14.21875" bestFit="1" customWidth="1"/>
    <col min="4" max="4" width="18.109375" bestFit="1" customWidth="1"/>
  </cols>
  <sheetData>
    <row r="1" spans="1:4" x14ac:dyDescent="0.3">
      <c r="A1" s="1" t="s">
        <v>4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8</v>
      </c>
      <c r="B2" t="s">
        <v>35</v>
      </c>
      <c r="C2">
        <v>3</v>
      </c>
      <c r="D2" t="str">
        <f>IFERROR(INDEX(Tickets!$B:$B, MATCH($A2, Tickets!$E:$E, 0)),"")</f>
        <v>2021-08-19 16:45:43</v>
      </c>
    </row>
    <row r="3" spans="1:4" x14ac:dyDescent="0.3">
      <c r="A3" t="s">
        <v>12</v>
      </c>
      <c r="B3" t="s">
        <v>36</v>
      </c>
      <c r="C3">
        <v>4</v>
      </c>
      <c r="D3" t="str">
        <f>IFERROR(INDEX(Tickets!$B:$B, MATCH($A3, Tickets!$E:$E, 0)),"")</f>
        <v>2021-08-20 10:12:56</v>
      </c>
    </row>
    <row r="4" spans="1:4" x14ac:dyDescent="0.3">
      <c r="A4" t="s">
        <v>15</v>
      </c>
      <c r="B4" t="s">
        <v>37</v>
      </c>
      <c r="C4">
        <v>5</v>
      </c>
      <c r="D4" t="str">
        <f>IFERROR(INDEX(Tickets!$B:$B, MATCH($A4, Tickets!$E:$E, 0)),"")</f>
        <v>2021-08-21 11:09:22</v>
      </c>
    </row>
    <row r="5" spans="1:4" x14ac:dyDescent="0.3">
      <c r="A5" t="s">
        <v>19</v>
      </c>
      <c r="B5" t="s">
        <v>38</v>
      </c>
      <c r="C5">
        <v>2</v>
      </c>
      <c r="D5" t="str">
        <f>IFERROR(INDEX(Tickets!$B:$B, MATCH($A5, Tickets!$E:$E, 0)),"")</f>
        <v>2021-08-21 09:15:10</v>
      </c>
    </row>
    <row r="6" spans="1:4" x14ac:dyDescent="0.3">
      <c r="A6" t="s">
        <v>23</v>
      </c>
      <c r="B6" t="s">
        <v>39</v>
      </c>
      <c r="C6">
        <v>4</v>
      </c>
      <c r="D6" t="str">
        <f>IFERROR(INDEX(Tickets!$B:$B, MATCH($A6, Tickets!$E:$E, 0)),"")</f>
        <v>2021-08-22 08:20:18</v>
      </c>
    </row>
    <row r="7" spans="1:4" x14ac:dyDescent="0.3">
      <c r="A7" t="s">
        <v>29</v>
      </c>
      <c r="B7" t="s">
        <v>40</v>
      </c>
      <c r="C7">
        <v>3</v>
      </c>
      <c r="D7" t="str">
        <f>IFERROR(INDEX(Tickets!$B:$B, MATCH($A7, Tickets!$E:$E, 0)),"")</f>
        <v>2021-08-23 14:10:05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Naidu</cp:lastModifiedBy>
  <dcterms:created xsi:type="dcterms:W3CDTF">2025-12-02T15:59:27Z</dcterms:created>
  <dcterms:modified xsi:type="dcterms:W3CDTF">2025-12-02T16:26:09Z</dcterms:modified>
</cp:coreProperties>
</file>